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KINRAJ VP\Downloads\"/>
    </mc:Choice>
  </mc:AlternateContent>
  <xr:revisionPtr revIDLastSave="0" documentId="13_ncr:1_{CB0F973B-93A1-4C6F-9C4D-8ABDF1E05F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शीट19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" roundtripDataChecksum="E9rQ9aIJ7LgU0fEjE8XSBBYoVrI//FHRtgFTJ/qI39Y="/>
    </ext>
  </extLst>
</workbook>
</file>

<file path=xl/calcChain.xml><?xml version="1.0" encoding="utf-8"?>
<calcChain xmlns="http://schemas.openxmlformats.org/spreadsheetml/2006/main">
  <c r="S62" i="24" l="1"/>
  <c r="R62" i="24"/>
  <c r="Q62" i="24"/>
  <c r="P62" i="24"/>
  <c r="H61" i="24"/>
  <c r="H60" i="24"/>
  <c r="H59" i="24"/>
  <c r="H58" i="24"/>
  <c r="J57" i="24"/>
  <c r="H57" i="24"/>
  <c r="H56" i="24"/>
  <c r="H63" i="24" s="1"/>
  <c r="E50" i="24"/>
  <c r="H50" i="24" s="1"/>
  <c r="H49" i="24"/>
  <c r="E39" i="24"/>
  <c r="H36" i="24"/>
  <c r="S30" i="24"/>
  <c r="R30" i="24"/>
  <c r="Q30" i="24"/>
  <c r="P30" i="24"/>
  <c r="T29" i="24"/>
  <c r="O61" i="24" s="1"/>
  <c r="T61" i="24" s="1"/>
  <c r="H29" i="24"/>
  <c r="T28" i="24"/>
  <c r="O60" i="24" s="1"/>
  <c r="T60" i="24" s="1"/>
  <c r="H28" i="24"/>
  <c r="T27" i="24"/>
  <c r="O59" i="24" s="1"/>
  <c r="T59" i="24" s="1"/>
  <c r="H27" i="24"/>
  <c r="T26" i="24"/>
  <c r="O58" i="24" s="1"/>
  <c r="T58" i="24" s="1"/>
  <c r="H26" i="24"/>
  <c r="T25" i="24"/>
  <c r="O57" i="24" s="1"/>
  <c r="T57" i="24" s="1"/>
  <c r="J25" i="24"/>
  <c r="H25" i="24"/>
  <c r="T24" i="24"/>
  <c r="O56" i="24" s="1"/>
  <c r="T56" i="24" s="1"/>
  <c r="H24" i="24"/>
  <c r="H31" i="24" s="1"/>
  <c r="T23" i="24"/>
  <c r="O55" i="24" s="1"/>
  <c r="T55" i="24" s="1"/>
  <c r="T22" i="24"/>
  <c r="O54" i="24" s="1"/>
  <c r="T54" i="24" s="1"/>
  <c r="T21" i="24"/>
  <c r="O53" i="24" s="1"/>
  <c r="T53" i="24" s="1"/>
  <c r="T20" i="24"/>
  <c r="O52" i="24" s="1"/>
  <c r="T52" i="24" s="1"/>
  <c r="T19" i="24"/>
  <c r="O51" i="24" s="1"/>
  <c r="T51" i="24" s="1"/>
  <c r="T18" i="24"/>
  <c r="O50" i="24" s="1"/>
  <c r="T50" i="24" s="1"/>
  <c r="E18" i="24"/>
  <c r="H18" i="24" s="1"/>
  <c r="T17" i="24"/>
  <c r="O49" i="24" s="1"/>
  <c r="T49" i="24" s="1"/>
  <c r="H17" i="24"/>
  <c r="T16" i="24"/>
  <c r="O48" i="24" s="1"/>
  <c r="T48" i="24" s="1"/>
  <c r="T15" i="24"/>
  <c r="O47" i="24" s="1"/>
  <c r="T47" i="24" s="1"/>
  <c r="T14" i="24"/>
  <c r="O46" i="24" s="1"/>
  <c r="T46" i="24" s="1"/>
  <c r="T13" i="24"/>
  <c r="O45" i="24" s="1"/>
  <c r="T45" i="24" s="1"/>
  <c r="T12" i="24"/>
  <c r="O44" i="24" s="1"/>
  <c r="T44" i="24" s="1"/>
  <c r="T11" i="24"/>
  <c r="O43" i="24" s="1"/>
  <c r="T43" i="24" s="1"/>
  <c r="T10" i="24"/>
  <c r="O42" i="24" s="1"/>
  <c r="T42" i="24" s="1"/>
  <c r="T9" i="24"/>
  <c r="O41" i="24" s="1"/>
  <c r="T41" i="24" s="1"/>
  <c r="T8" i="24"/>
  <c r="O40" i="24" s="1"/>
  <c r="T40" i="24" s="1"/>
  <c r="T7" i="24"/>
  <c r="O39" i="24" s="1"/>
  <c r="T39" i="24" s="1"/>
  <c r="E7" i="24"/>
  <c r="T6" i="24"/>
  <c r="O38" i="24" s="1"/>
  <c r="T38" i="24" s="1"/>
  <c r="T5" i="24"/>
  <c r="O37" i="24" s="1"/>
  <c r="T37" i="24" s="1"/>
  <c r="T4" i="24"/>
  <c r="O36" i="24" s="1"/>
  <c r="T36" i="24" s="1"/>
  <c r="H4" i="24"/>
  <c r="T3" i="24"/>
  <c r="H3" i="24"/>
  <c r="H5" i="24" s="1"/>
  <c r="E36" i="24" s="1"/>
  <c r="H35" i="24" s="1"/>
  <c r="H37" i="24" s="1"/>
  <c r="J58" i="24" l="1"/>
  <c r="H53" i="24"/>
  <c r="H21" i="24"/>
  <c r="J26" i="24"/>
  <c r="J28" i="24" s="1"/>
  <c r="J55" i="24" s="1"/>
  <c r="J60" i="24" s="1"/>
  <c r="O35" i="24"/>
  <c r="T35" i="24" s="1"/>
  <c r="T62" i="24" s="1"/>
  <c r="T30" i="24"/>
  <c r="H38" i="24"/>
  <c r="H6" i="24"/>
</calcChain>
</file>

<file path=xl/sharedStrings.xml><?xml version="1.0" encoding="utf-8"?>
<sst xmlns="http://schemas.openxmlformats.org/spreadsheetml/2006/main" count="146" uniqueCount="72">
  <si>
    <t>Date</t>
  </si>
  <si>
    <t>Particulars</t>
  </si>
  <si>
    <t>Debit</t>
  </si>
  <si>
    <t>Credit</t>
  </si>
  <si>
    <t>Balance</t>
  </si>
  <si>
    <t>Notes</t>
  </si>
  <si>
    <t>Aount</t>
  </si>
  <si>
    <t>Opening Cash</t>
  </si>
  <si>
    <t xml:space="preserve">Prompt </t>
  </si>
  <si>
    <t xml:space="preserve">Self Deposit </t>
  </si>
  <si>
    <t>Total</t>
  </si>
  <si>
    <t>Cash Flow</t>
  </si>
  <si>
    <t>Amount</t>
  </si>
  <si>
    <t>Total Credit</t>
  </si>
  <si>
    <t>Total Debit</t>
  </si>
  <si>
    <t>Jio Collection Aswanth (Onchiam Market)</t>
  </si>
  <si>
    <t>Closing Balnce</t>
  </si>
  <si>
    <t>Cash Difference</t>
  </si>
  <si>
    <t>Pay Bingo Collection</t>
  </si>
  <si>
    <t>PG Charge</t>
  </si>
  <si>
    <t>Remarks</t>
  </si>
  <si>
    <t>Pay Bingo ID Sale</t>
  </si>
  <si>
    <t>Pay Bingo Online  Transfer From 04/07</t>
  </si>
  <si>
    <t>Reverse From Retailer</t>
  </si>
  <si>
    <t>Reverse</t>
  </si>
  <si>
    <t>Denom</t>
  </si>
  <si>
    <t>Total sale Crosscheck</t>
  </si>
  <si>
    <t>Cash paid aginst reverse</t>
  </si>
  <si>
    <t>Net forward</t>
  </si>
  <si>
    <t>Reverse from wallet</t>
  </si>
  <si>
    <t>Total sale Khatabook</t>
  </si>
  <si>
    <t>PG stock adjust</t>
  </si>
  <si>
    <t>Upi against reverse</t>
  </si>
  <si>
    <t>Paybingo Deposit PNB</t>
  </si>
  <si>
    <t>PG stock adjust vibes</t>
  </si>
  <si>
    <t>Opening stock</t>
  </si>
  <si>
    <t>OD rcvd</t>
  </si>
  <si>
    <t>Value rcvd</t>
  </si>
  <si>
    <t>Total Sale</t>
  </si>
  <si>
    <t>OD settlement</t>
  </si>
  <si>
    <t>Closing stock</t>
  </si>
  <si>
    <t>Ret Name</t>
  </si>
  <si>
    <t>Opening</t>
  </si>
  <si>
    <t>Forward</t>
  </si>
  <si>
    <t>PG sock fwd/Cash paid</t>
  </si>
  <si>
    <t>Fantasy</t>
  </si>
  <si>
    <t>Falcon</t>
  </si>
  <si>
    <t xml:space="preserve">Jio Collection  tmk+ck </t>
  </si>
  <si>
    <t>Cell city</t>
  </si>
  <si>
    <t>Fixit</t>
  </si>
  <si>
    <t>Iswarya statio</t>
  </si>
  <si>
    <t>Smartech</t>
  </si>
  <si>
    <t>SM online</t>
  </si>
  <si>
    <t>Self Deposit  for lamil cash cdm sbi5859 tfr frm 2429</t>
  </si>
  <si>
    <t>Mobile mart</t>
  </si>
  <si>
    <t>Debit from vibes 04/07 Paybingo stock</t>
  </si>
  <si>
    <t>Vibes (Mobicare)</t>
  </si>
  <si>
    <t>Sbi Service</t>
  </si>
  <si>
    <t xml:space="preserve">Fono </t>
  </si>
  <si>
    <t>Tk Store</t>
  </si>
  <si>
    <t>Mobi time</t>
  </si>
  <si>
    <t>KKM</t>
  </si>
  <si>
    <t>Upi Transfer 04/07</t>
  </si>
  <si>
    <t xml:space="preserve">Vibes Deposit BOB 04/07 </t>
  </si>
  <si>
    <t xml:space="preserve">Vibes Deposit Sbi  43320705859 </t>
  </si>
  <si>
    <t xml:space="preserve">Vibes Deposit Canara 120033977460 </t>
  </si>
  <si>
    <t>Upi Transfer Vibes SBI5859</t>
  </si>
  <si>
    <t xml:space="preserve">Paybingo Sbi Deposit  Sbi 3696  </t>
  </si>
  <si>
    <t xml:space="preserve">Paybingo Sbi Deposit HDFC               </t>
  </si>
  <si>
    <t>Paybingo Deposit Online Stock Received 04/07</t>
  </si>
  <si>
    <t xml:space="preserve">Paybingo Deposit </t>
  </si>
  <si>
    <t>Jio Collection  TMK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</si>
</sst>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4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4"/>
      <color rgb="FFFBE4D5"/>
      <name val="Calibri"/>
    </font>
    <font>
      <sz val="11"/>
      <color rgb="FFFBE4D5"/>
      <name val="Calibri"/>
    </font>
    <font>
      <sz val="11"/>
      <color theme="0"/>
      <name val="Calibri"/>
    </font>
    <font>
      <b/>
      <sz val="11"/>
      <color rgb="FFFBE4D5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  <scheme val="minor"/>
    </font>
    <font>
      <b/>
      <sz val="11"/>
      <color theme="1"/>
      <name val="Calibri"/>
      <scheme val="minor"/>
    </font>
    <font>
      <b/>
      <sz val="1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385623"/>
        <bgColor rgb="FF385623"/>
      </patternFill>
    </fill>
    <fill>
      <patternFill patternType="solid">
        <fgColor rgb="FF7030A0"/>
        <bgColor rgb="FF7030A0"/>
      </patternFill>
    </fill>
    <fill>
      <patternFill patternType="solid">
        <fgColor rgb="FF9CC2E5"/>
        <bgColor rgb="FF9CC2E5"/>
      </patternFill>
    </fill>
    <fill>
      <patternFill patternType="solid">
        <fgColor rgb="FFC55A11"/>
        <bgColor rgb="FFC55A11"/>
      </patternFill>
    </fill>
    <fill>
      <patternFill patternType="solid">
        <fgColor rgb="FF000000"/>
        <bgColor rgb="FF000000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5" borderId="3" xfId="0" applyFont="1" applyFill="1" applyBorder="1"/>
    <xf numFmtId="164" fontId="6" fillId="4" borderId="13" xfId="0" applyNumberFormat="1" applyFont="1" applyFill="1" applyBorder="1"/>
    <xf numFmtId="164" fontId="7" fillId="3" borderId="3" xfId="0" applyNumberFormat="1" applyFont="1" applyFill="1" applyBorder="1"/>
    <xf numFmtId="164" fontId="2" fillId="0" borderId="3" xfId="0" applyNumberFormat="1" applyFont="1" applyBorder="1"/>
    <xf numFmtId="164" fontId="2" fillId="4" borderId="13" xfId="0" applyNumberFormat="1" applyFont="1" applyFill="1" applyBorder="1"/>
    <xf numFmtId="0" fontId="2" fillId="0" borderId="14" xfId="0" applyFont="1" applyBorder="1"/>
    <xf numFmtId="164" fontId="2" fillId="0" borderId="13" xfId="0" applyNumberFormat="1" applyFont="1" applyBorder="1" applyAlignment="1">
      <alignment vertical="top"/>
    </xf>
    <xf numFmtId="164" fontId="2" fillId="0" borderId="13" xfId="0" applyNumberFormat="1" applyFont="1" applyBorder="1"/>
    <xf numFmtId="0" fontId="8" fillId="4" borderId="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4" fontId="6" fillId="4" borderId="3" xfId="0" applyNumberFormat="1" applyFont="1" applyFill="1" applyBorder="1"/>
    <xf numFmtId="164" fontId="8" fillId="4" borderId="20" xfId="0" applyNumberFormat="1" applyFont="1" applyFill="1" applyBorder="1"/>
    <xf numFmtId="164" fontId="9" fillId="3" borderId="3" xfId="0" applyNumberFormat="1" applyFont="1" applyFill="1" applyBorder="1"/>
    <xf numFmtId="164" fontId="2" fillId="0" borderId="13" xfId="0" applyNumberFormat="1" applyFont="1" applyBorder="1" applyAlignment="1">
      <alignment horizontal="right" vertical="top"/>
    </xf>
    <xf numFmtId="164" fontId="7" fillId="4" borderId="13" xfId="0" applyNumberFormat="1" applyFont="1" applyFill="1" applyBorder="1"/>
    <xf numFmtId="164" fontId="10" fillId="0" borderId="13" xfId="0" applyNumberFormat="1" applyFont="1" applyBorder="1"/>
    <xf numFmtId="4" fontId="4" fillId="0" borderId="0" xfId="0" applyNumberFormat="1" applyFont="1"/>
    <xf numFmtId="4" fontId="11" fillId="0" borderId="0" xfId="0" applyNumberFormat="1" applyFont="1"/>
    <xf numFmtId="0" fontId="4" fillId="7" borderId="0" xfId="0" applyFont="1" applyFill="1"/>
    <xf numFmtId="164" fontId="7" fillId="4" borderId="3" xfId="0" applyNumberFormat="1" applyFont="1" applyFill="1" applyBorder="1"/>
    <xf numFmtId="164" fontId="2" fillId="8" borderId="3" xfId="0" applyNumberFormat="1" applyFont="1" applyFill="1" applyBorder="1"/>
    <xf numFmtId="164" fontId="2" fillId="9" borderId="3" xfId="0" applyNumberFormat="1" applyFont="1" applyFill="1" applyBorder="1"/>
    <xf numFmtId="164" fontId="2" fillId="6" borderId="3" xfId="0" applyNumberFormat="1" applyFont="1" applyFill="1" applyBorder="1"/>
    <xf numFmtId="0" fontId="12" fillId="0" borderId="0" xfId="0" applyFont="1"/>
    <xf numFmtId="164" fontId="2" fillId="6" borderId="18" xfId="0" applyNumberFormat="1" applyFont="1" applyFill="1" applyBorder="1"/>
    <xf numFmtId="0" fontId="3" fillId="0" borderId="4" xfId="0" applyFont="1" applyBorder="1"/>
    <xf numFmtId="0" fontId="3" fillId="0" borderId="2" xfId="0" applyFont="1" applyBorder="1"/>
    <xf numFmtId="0" fontId="7" fillId="6" borderId="15" xfId="0" applyFont="1" applyFill="1" applyBorder="1" applyAlignment="1">
      <alignment horizontal="left"/>
    </xf>
    <xf numFmtId="0" fontId="3" fillId="0" borderId="16" xfId="0" applyFont="1" applyBorder="1"/>
    <xf numFmtId="0" fontId="3" fillId="0" borderId="17" xfId="0" applyFont="1" applyBorder="1"/>
    <xf numFmtId="0" fontId="8" fillId="4" borderId="19" xfId="0" applyFont="1" applyFill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14" fontId="1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/>
    <xf numFmtId="14" fontId="1" fillId="0" borderId="8" xfId="0" applyNumberFormat="1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3" borderId="1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0" borderId="12" xfId="0" applyFont="1" applyBorder="1"/>
    <xf numFmtId="0" fontId="2" fillId="5" borderId="1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5" fillId="6" borderId="1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left"/>
    </xf>
    <xf numFmtId="0" fontId="9" fillId="6" borderId="11" xfId="0" applyFont="1" applyFill="1" applyBorder="1" applyAlignment="1">
      <alignment horizontal="left"/>
    </xf>
    <xf numFmtId="0" fontId="3" fillId="0" borderId="5" xfId="0" applyFont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7" fillId="4" borderId="11" xfId="0" applyFont="1" applyFill="1" applyBorder="1" applyAlignment="1">
      <alignment horizontal="left"/>
    </xf>
    <xf numFmtId="0" fontId="9" fillId="8" borderId="11" xfId="0" applyFont="1" applyFill="1" applyBorder="1" applyAlignment="1">
      <alignment horizontal="left"/>
    </xf>
    <xf numFmtId="0" fontId="9" fillId="9" borderId="11" xfId="0" applyFont="1" applyFill="1" applyBorder="1" applyAlignment="1">
      <alignment horizontal="left"/>
    </xf>
    <xf numFmtId="0" fontId="2" fillId="7" borderId="21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calcChain" Target="calcChain.xml"/><Relationship Id="rId3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3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U63"/>
  <sheetViews>
    <sheetView tabSelected="1" topLeftCell="A41" workbookViewId="0">
      <selection activeCell="J20" sqref="J20"/>
    </sheetView>
  </sheetViews>
  <sheetFormatPr defaultColWidth="14.44140625" defaultRowHeight="15" customHeight="1"/>
  <cols>
    <col min="11" max="11" width="2" customWidth="1"/>
    <col min="12" max="12" width="0.44140625" customWidth="1"/>
    <col min="13" max="13" width="2.109375" customWidth="1"/>
  </cols>
  <sheetData>
    <row r="1" spans="1:20">
      <c r="A1" s="38" t="s">
        <v>0</v>
      </c>
      <c r="B1" s="39"/>
      <c r="C1" s="40"/>
      <c r="D1" s="41"/>
      <c r="E1" s="41"/>
      <c r="F1" s="41"/>
      <c r="G1" s="41"/>
      <c r="H1" s="42"/>
      <c r="L1" s="23"/>
      <c r="N1" s="57" t="s">
        <v>41</v>
      </c>
      <c r="O1" s="57" t="s">
        <v>42</v>
      </c>
      <c r="P1" s="57" t="s">
        <v>43</v>
      </c>
      <c r="Q1" s="57" t="s">
        <v>24</v>
      </c>
      <c r="R1" s="58" t="s">
        <v>44</v>
      </c>
      <c r="S1" s="57" t="s">
        <v>3</v>
      </c>
      <c r="T1" s="57" t="s">
        <v>4</v>
      </c>
    </row>
    <row r="2" spans="1:20" ht="15" customHeight="1">
      <c r="A2" s="43" t="s">
        <v>3</v>
      </c>
      <c r="B2" s="31"/>
      <c r="C2" s="31"/>
      <c r="D2" s="31"/>
      <c r="E2" s="30"/>
      <c r="F2" s="44" t="s">
        <v>11</v>
      </c>
      <c r="G2" s="31"/>
      <c r="H2" s="45"/>
      <c r="L2" s="23"/>
      <c r="N2" s="56"/>
      <c r="O2" s="56"/>
      <c r="P2" s="56"/>
      <c r="Q2" s="56"/>
      <c r="R2" s="56"/>
      <c r="S2" s="56"/>
      <c r="T2" s="56"/>
    </row>
    <row r="3" spans="1:20">
      <c r="A3" s="46" t="s">
        <v>1</v>
      </c>
      <c r="B3" s="31"/>
      <c r="C3" s="31"/>
      <c r="D3" s="30"/>
      <c r="E3" s="5" t="s">
        <v>12</v>
      </c>
      <c r="F3" s="47" t="s">
        <v>13</v>
      </c>
      <c r="G3" s="30"/>
      <c r="H3" s="6">
        <f>SUM(E4:E14)</f>
        <v>0</v>
      </c>
      <c r="L3" s="23"/>
      <c r="N3" s="1" t="s">
        <v>8</v>
      </c>
      <c r="O3" s="1">
        <v>0</v>
      </c>
      <c r="T3" s="1">
        <f t="shared" ref="T3:T29" si="0">O3+P3+R3-Q3-S3</f>
        <v>0</v>
      </c>
    </row>
    <row r="4" spans="1:20">
      <c r="A4" s="48" t="s">
        <v>7</v>
      </c>
      <c r="B4" s="31"/>
      <c r="C4" s="31"/>
      <c r="D4" s="30"/>
      <c r="E4" s="17">
        <v>0</v>
      </c>
      <c r="F4" s="47" t="s">
        <v>14</v>
      </c>
      <c r="G4" s="30"/>
      <c r="H4" s="6">
        <f>SUM(E17:E31)</f>
        <v>0</v>
      </c>
      <c r="L4" s="23"/>
      <c r="N4" s="1" t="s">
        <v>45</v>
      </c>
      <c r="O4" s="1">
        <v>0</v>
      </c>
      <c r="T4" s="1">
        <f t="shared" si="0"/>
        <v>0</v>
      </c>
    </row>
    <row r="5" spans="1:20">
      <c r="A5" s="48" t="s">
        <v>15</v>
      </c>
      <c r="B5" s="31"/>
      <c r="C5" s="31"/>
      <c r="D5" s="30"/>
      <c r="E5" s="8"/>
      <c r="F5" s="47" t="s">
        <v>16</v>
      </c>
      <c r="G5" s="30"/>
      <c r="H5" s="6">
        <f>H3-H4</f>
        <v>0</v>
      </c>
      <c r="L5" s="23"/>
      <c r="N5" s="1" t="s">
        <v>46</v>
      </c>
      <c r="O5" s="1">
        <v>0</v>
      </c>
      <c r="T5" s="1">
        <f t="shared" si="0"/>
        <v>0</v>
      </c>
    </row>
    <row r="6" spans="1:20">
      <c r="A6" s="54" t="s">
        <v>47</v>
      </c>
      <c r="B6" s="31"/>
      <c r="C6" s="31"/>
      <c r="D6" s="30"/>
      <c r="E6" s="8"/>
      <c r="F6" s="49" t="s">
        <v>17</v>
      </c>
      <c r="G6" s="30"/>
      <c r="H6" s="9">
        <f>H31-H5</f>
        <v>0</v>
      </c>
      <c r="L6" s="23"/>
      <c r="N6" s="1" t="s">
        <v>48</v>
      </c>
      <c r="O6" s="1">
        <v>0</v>
      </c>
      <c r="T6" s="1">
        <f t="shared" si="0"/>
        <v>0</v>
      </c>
    </row>
    <row r="7" spans="1:20">
      <c r="A7" s="59" t="s">
        <v>18</v>
      </c>
      <c r="B7" s="31"/>
      <c r="C7" s="31"/>
      <c r="D7" s="30"/>
      <c r="E7" s="24">
        <f>Q30+S30</f>
        <v>0</v>
      </c>
      <c r="H7" s="10"/>
      <c r="L7" s="23"/>
      <c r="N7" s="1" t="s">
        <v>49</v>
      </c>
      <c r="O7" s="1">
        <v>0</v>
      </c>
      <c r="T7" s="1">
        <f t="shared" si="0"/>
        <v>0</v>
      </c>
    </row>
    <row r="8" spans="1:20">
      <c r="A8" s="48" t="s">
        <v>19</v>
      </c>
      <c r="B8" s="31"/>
      <c r="C8" s="31"/>
      <c r="D8" s="30"/>
      <c r="E8" s="8"/>
      <c r="F8" s="50" t="s">
        <v>20</v>
      </c>
      <c r="G8" s="31"/>
      <c r="H8" s="45"/>
      <c r="L8" s="23"/>
      <c r="N8" s="1" t="s">
        <v>50</v>
      </c>
      <c r="O8" s="1">
        <v>0</v>
      </c>
      <c r="T8" s="1">
        <f t="shared" si="0"/>
        <v>0</v>
      </c>
    </row>
    <row r="9" spans="1:20">
      <c r="A9" s="48" t="s">
        <v>21</v>
      </c>
      <c r="B9" s="31"/>
      <c r="C9" s="31"/>
      <c r="D9" s="30"/>
      <c r="E9" s="8"/>
      <c r="F9" s="52"/>
      <c r="G9" s="31"/>
      <c r="H9" s="18"/>
      <c r="L9" s="23"/>
      <c r="N9" s="1" t="s">
        <v>51</v>
      </c>
      <c r="O9" s="1">
        <v>0</v>
      </c>
      <c r="T9" s="1">
        <f t="shared" si="0"/>
        <v>0</v>
      </c>
    </row>
    <row r="10" spans="1:20">
      <c r="A10" s="48" t="s">
        <v>22</v>
      </c>
      <c r="B10" s="31"/>
      <c r="C10" s="31"/>
      <c r="D10" s="30"/>
      <c r="E10" s="8"/>
      <c r="F10" s="52"/>
      <c r="G10" s="30"/>
      <c r="H10" s="18"/>
      <c r="L10" s="23"/>
      <c r="N10" s="1" t="s">
        <v>52</v>
      </c>
      <c r="O10" s="1">
        <v>0</v>
      </c>
      <c r="T10" s="1">
        <f t="shared" si="0"/>
        <v>0</v>
      </c>
    </row>
    <row r="11" spans="1:20">
      <c r="A11" s="54" t="s">
        <v>53</v>
      </c>
      <c r="B11" s="31"/>
      <c r="C11" s="31"/>
      <c r="D11" s="30"/>
      <c r="E11" s="8"/>
      <c r="F11" s="2"/>
      <c r="G11" s="3"/>
      <c r="H11" s="18"/>
      <c r="L11" s="23"/>
      <c r="N11" s="1" t="s">
        <v>54</v>
      </c>
      <c r="O11" s="1">
        <v>0</v>
      </c>
      <c r="T11" s="1">
        <f t="shared" si="0"/>
        <v>0</v>
      </c>
    </row>
    <row r="12" spans="1:20">
      <c r="A12" s="54" t="s">
        <v>55</v>
      </c>
      <c r="B12" s="31"/>
      <c r="C12" s="31"/>
      <c r="D12" s="30"/>
      <c r="E12" s="8"/>
      <c r="F12" s="52"/>
      <c r="G12" s="30"/>
      <c r="H12" s="18"/>
      <c r="L12" s="23"/>
      <c r="N12" s="1" t="s">
        <v>56</v>
      </c>
      <c r="O12" s="1">
        <v>0</v>
      </c>
      <c r="T12" s="1">
        <f t="shared" si="0"/>
        <v>0</v>
      </c>
    </row>
    <row r="13" spans="1:20">
      <c r="A13" s="48"/>
      <c r="B13" s="31"/>
      <c r="C13" s="31"/>
      <c r="D13" s="30"/>
      <c r="E13" s="8"/>
      <c r="F13" s="52"/>
      <c r="G13" s="30"/>
      <c r="H13" s="18"/>
      <c r="L13" s="23"/>
      <c r="N13" s="1" t="s">
        <v>57</v>
      </c>
      <c r="O13" s="1">
        <v>0</v>
      </c>
      <c r="T13" s="1">
        <f t="shared" si="0"/>
        <v>0</v>
      </c>
    </row>
    <row r="14" spans="1:20">
      <c r="A14" s="48"/>
      <c r="B14" s="31"/>
      <c r="C14" s="31"/>
      <c r="D14" s="30"/>
      <c r="E14" s="8"/>
      <c r="F14" s="52"/>
      <c r="G14" s="30"/>
      <c r="H14" s="18"/>
      <c r="L14" s="23"/>
      <c r="N14" s="1" t="s">
        <v>58</v>
      </c>
      <c r="O14" s="1">
        <v>0</v>
      </c>
      <c r="T14" s="1">
        <f t="shared" si="0"/>
        <v>0</v>
      </c>
    </row>
    <row r="15" spans="1:20" ht="15" customHeight="1">
      <c r="A15" s="53" t="s">
        <v>2</v>
      </c>
      <c r="B15" s="31"/>
      <c r="C15" s="31"/>
      <c r="D15" s="31"/>
      <c r="E15" s="30"/>
      <c r="F15" s="44" t="s">
        <v>26</v>
      </c>
      <c r="G15" s="31"/>
      <c r="H15" s="45"/>
      <c r="L15" s="23"/>
      <c r="N15" s="1" t="s">
        <v>59</v>
      </c>
      <c r="O15" s="1">
        <v>0</v>
      </c>
      <c r="T15" s="1">
        <f t="shared" si="0"/>
        <v>0</v>
      </c>
    </row>
    <row r="16" spans="1:20">
      <c r="A16" s="46" t="s">
        <v>1</v>
      </c>
      <c r="B16" s="31"/>
      <c r="C16" s="31"/>
      <c r="D16" s="30"/>
      <c r="E16" s="5" t="s">
        <v>12</v>
      </c>
      <c r="F16" s="47" t="s">
        <v>27</v>
      </c>
      <c r="G16" s="30"/>
      <c r="H16" s="20"/>
      <c r="L16" s="23"/>
      <c r="N16" s="1" t="s">
        <v>60</v>
      </c>
      <c r="O16" s="1">
        <v>0</v>
      </c>
      <c r="T16" s="1">
        <f t="shared" si="0"/>
        <v>0</v>
      </c>
    </row>
    <row r="17" spans="1:21">
      <c r="A17" s="60"/>
      <c r="B17" s="31"/>
      <c r="C17" s="31"/>
      <c r="D17" s="30"/>
      <c r="E17" s="25"/>
      <c r="F17" s="47" t="s">
        <v>28</v>
      </c>
      <c r="G17" s="30"/>
      <c r="H17" s="19">
        <f>P30-Q30</f>
        <v>0</v>
      </c>
      <c r="L17" s="23"/>
      <c r="N17" s="1" t="s">
        <v>61</v>
      </c>
      <c r="O17" s="1">
        <v>0</v>
      </c>
      <c r="T17" s="1">
        <f t="shared" si="0"/>
        <v>0</v>
      </c>
    </row>
    <row r="18" spans="1:21">
      <c r="A18" s="59" t="s">
        <v>23</v>
      </c>
      <c r="B18" s="31"/>
      <c r="C18" s="31"/>
      <c r="D18" s="30"/>
      <c r="E18" s="24">
        <f>Q30</f>
        <v>0</v>
      </c>
      <c r="F18" s="47" t="s">
        <v>29</v>
      </c>
      <c r="G18" s="30"/>
      <c r="H18" s="19">
        <f>E18</f>
        <v>0</v>
      </c>
      <c r="L18" s="23"/>
      <c r="T18" s="1">
        <f t="shared" si="0"/>
        <v>0</v>
      </c>
    </row>
    <row r="19" spans="1:21">
      <c r="A19" s="60" t="s">
        <v>62</v>
      </c>
      <c r="B19" s="31"/>
      <c r="C19" s="31"/>
      <c r="D19" s="30"/>
      <c r="E19" s="25"/>
      <c r="F19" s="49" t="s">
        <v>32</v>
      </c>
      <c r="G19" s="30"/>
      <c r="H19" s="12"/>
      <c r="L19" s="23"/>
      <c r="T19" s="1">
        <f t="shared" si="0"/>
        <v>0</v>
      </c>
    </row>
    <row r="20" spans="1:21">
      <c r="A20" s="60" t="s">
        <v>63</v>
      </c>
      <c r="B20" s="31"/>
      <c r="C20" s="31"/>
      <c r="D20" s="30"/>
      <c r="E20" s="25"/>
      <c r="F20" s="49" t="s">
        <v>34</v>
      </c>
      <c r="G20" s="30"/>
      <c r="H20" s="12"/>
      <c r="L20" s="23"/>
      <c r="T20" s="1">
        <f t="shared" si="0"/>
        <v>0</v>
      </c>
    </row>
    <row r="21" spans="1:21">
      <c r="A21" s="60" t="s">
        <v>64</v>
      </c>
      <c r="B21" s="31"/>
      <c r="C21" s="31"/>
      <c r="D21" s="30"/>
      <c r="E21" s="25"/>
      <c r="F21" s="49" t="s">
        <v>30</v>
      </c>
      <c r="G21" s="30"/>
      <c r="H21" s="6">
        <f>SUM(H16:H20)</f>
        <v>0</v>
      </c>
      <c r="L21" s="23"/>
      <c r="T21" s="1">
        <f t="shared" si="0"/>
        <v>0</v>
      </c>
    </row>
    <row r="22" spans="1:21">
      <c r="A22" s="60" t="s">
        <v>65</v>
      </c>
      <c r="B22" s="31"/>
      <c r="C22" s="31"/>
      <c r="D22" s="30"/>
      <c r="E22" s="25"/>
      <c r="H22" s="10"/>
      <c r="L22" s="23"/>
      <c r="T22" s="1">
        <f t="shared" si="0"/>
        <v>0</v>
      </c>
    </row>
    <row r="23" spans="1:21">
      <c r="A23" s="60" t="s">
        <v>66</v>
      </c>
      <c r="B23" s="31"/>
      <c r="C23" s="31"/>
      <c r="D23" s="30"/>
      <c r="E23" s="25"/>
      <c r="F23" s="13" t="s">
        <v>5</v>
      </c>
      <c r="G23" s="13" t="s">
        <v>25</v>
      </c>
      <c r="H23" s="14" t="s">
        <v>6</v>
      </c>
      <c r="I23" s="1" t="s">
        <v>35</v>
      </c>
      <c r="J23" s="21">
        <v>0</v>
      </c>
      <c r="K23" s="21"/>
      <c r="L23" s="23"/>
      <c r="T23" s="1">
        <f t="shared" si="0"/>
        <v>0</v>
      </c>
    </row>
    <row r="24" spans="1:21">
      <c r="A24" s="61" t="s">
        <v>67</v>
      </c>
      <c r="B24" s="31"/>
      <c r="C24" s="31"/>
      <c r="D24" s="30"/>
      <c r="E24" s="26"/>
      <c r="F24" s="15">
        <v>500</v>
      </c>
      <c r="G24" s="4"/>
      <c r="H24" s="6">
        <f t="shared" ref="H24:H29" si="1">F24*G24</f>
        <v>0</v>
      </c>
      <c r="I24" s="1" t="s">
        <v>36</v>
      </c>
      <c r="J24" s="21"/>
      <c r="K24" s="21"/>
      <c r="L24" s="23"/>
      <c r="T24" s="1">
        <f t="shared" si="0"/>
        <v>0</v>
      </c>
    </row>
    <row r="25" spans="1:21">
      <c r="A25" s="61" t="s">
        <v>33</v>
      </c>
      <c r="B25" s="31"/>
      <c r="C25" s="31"/>
      <c r="D25" s="30"/>
      <c r="E25" s="26"/>
      <c r="F25" s="15">
        <v>200</v>
      </c>
      <c r="G25" s="4"/>
      <c r="H25" s="6">
        <f t="shared" si="1"/>
        <v>0</v>
      </c>
      <c r="I25" s="1" t="s">
        <v>37</v>
      </c>
      <c r="J25" s="22">
        <f>SUM(E24:E28)</f>
        <v>0</v>
      </c>
      <c r="K25" s="22"/>
      <c r="L25" s="23"/>
      <c r="T25" s="1">
        <f t="shared" si="0"/>
        <v>0</v>
      </c>
    </row>
    <row r="26" spans="1:21">
      <c r="A26" s="61" t="s">
        <v>68</v>
      </c>
      <c r="B26" s="31"/>
      <c r="C26" s="31"/>
      <c r="D26" s="30"/>
      <c r="E26" s="26"/>
      <c r="F26" s="15">
        <v>100</v>
      </c>
      <c r="G26" s="4"/>
      <c r="H26" s="6">
        <f t="shared" si="1"/>
        <v>0</v>
      </c>
      <c r="I26" s="1" t="s">
        <v>38</v>
      </c>
      <c r="J26" s="22">
        <f>H17</f>
        <v>0</v>
      </c>
      <c r="K26" s="22"/>
      <c r="L26" s="23"/>
      <c r="T26" s="1">
        <f t="shared" si="0"/>
        <v>0</v>
      </c>
    </row>
    <row r="27" spans="1:21">
      <c r="A27" s="61" t="s">
        <v>69</v>
      </c>
      <c r="B27" s="31"/>
      <c r="C27" s="31"/>
      <c r="D27" s="30"/>
      <c r="E27" s="26"/>
      <c r="F27" s="15">
        <v>50</v>
      </c>
      <c r="G27" s="4"/>
      <c r="H27" s="6">
        <f t="shared" si="1"/>
        <v>0</v>
      </c>
      <c r="I27" s="1" t="s">
        <v>39</v>
      </c>
      <c r="J27" s="21"/>
      <c r="K27" s="21"/>
      <c r="L27" s="23"/>
      <c r="T27" s="1">
        <f t="shared" si="0"/>
        <v>0</v>
      </c>
    </row>
    <row r="28" spans="1:21">
      <c r="A28" s="61" t="s">
        <v>70</v>
      </c>
      <c r="B28" s="31"/>
      <c r="C28" s="31"/>
      <c r="D28" s="30"/>
      <c r="E28" s="26"/>
      <c r="F28" s="15">
        <v>20</v>
      </c>
      <c r="G28" s="4"/>
      <c r="H28" s="6">
        <f t="shared" si="1"/>
        <v>0</v>
      </c>
      <c r="I28" s="1" t="s">
        <v>40</v>
      </c>
      <c r="J28" s="22">
        <f>J23+J24+J25-J26-J27</f>
        <v>0</v>
      </c>
      <c r="K28" s="22"/>
      <c r="L28" s="23"/>
      <c r="T28" s="1">
        <f t="shared" si="0"/>
        <v>0</v>
      </c>
    </row>
    <row r="29" spans="1:21">
      <c r="A29" s="55"/>
      <c r="B29" s="31"/>
      <c r="C29" s="31"/>
      <c r="D29" s="30"/>
      <c r="E29" s="27"/>
      <c r="F29" s="15">
        <v>10</v>
      </c>
      <c r="G29" s="4"/>
      <c r="H29" s="6">
        <f t="shared" si="1"/>
        <v>0</v>
      </c>
      <c r="L29" s="23"/>
      <c r="T29" s="1">
        <f t="shared" si="0"/>
        <v>0</v>
      </c>
    </row>
    <row r="30" spans="1:21">
      <c r="A30" s="55"/>
      <c r="B30" s="31"/>
      <c r="C30" s="31"/>
      <c r="D30" s="30"/>
      <c r="E30" s="27"/>
      <c r="F30" s="15">
        <v>5</v>
      </c>
      <c r="G30" s="4"/>
      <c r="H30" s="6">
        <v>0</v>
      </c>
      <c r="L30" s="23"/>
      <c r="N30" s="28" t="s">
        <v>10</v>
      </c>
      <c r="O30" s="28"/>
      <c r="P30" s="28">
        <f t="shared" ref="P30:T30" si="2">SUM(P3:P29)</f>
        <v>0</v>
      </c>
      <c r="Q30" s="28">
        <f t="shared" si="2"/>
        <v>0</v>
      </c>
      <c r="R30" s="28">
        <f t="shared" si="2"/>
        <v>0</v>
      </c>
      <c r="S30" s="28">
        <f t="shared" si="2"/>
        <v>0</v>
      </c>
      <c r="T30" s="28">
        <f t="shared" si="2"/>
        <v>0</v>
      </c>
    </row>
    <row r="31" spans="1:21">
      <c r="A31" s="32"/>
      <c r="B31" s="33"/>
      <c r="C31" s="33"/>
      <c r="D31" s="34"/>
      <c r="E31" s="29"/>
      <c r="F31" s="35" t="s">
        <v>10</v>
      </c>
      <c r="G31" s="34"/>
      <c r="H31" s="16">
        <f>SUM(H24:H30)</f>
        <v>0</v>
      </c>
      <c r="L31" s="23"/>
    </row>
    <row r="32" spans="1:21">
      <c r="A32" s="6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</row>
    <row r="33" spans="1:20">
      <c r="A33" s="38" t="s">
        <v>0</v>
      </c>
      <c r="B33" s="39"/>
      <c r="C33" s="40"/>
      <c r="D33" s="41"/>
      <c r="E33" s="41"/>
      <c r="F33" s="41"/>
      <c r="G33" s="41"/>
      <c r="H33" s="42"/>
      <c r="L33" s="23"/>
      <c r="N33" s="57" t="s">
        <v>41</v>
      </c>
      <c r="O33" s="57" t="s">
        <v>42</v>
      </c>
      <c r="P33" s="57" t="s">
        <v>43</v>
      </c>
      <c r="Q33" s="57" t="s">
        <v>24</v>
      </c>
      <c r="R33" s="58" t="s">
        <v>44</v>
      </c>
      <c r="S33" s="57" t="s">
        <v>3</v>
      </c>
      <c r="T33" s="57" t="s">
        <v>4</v>
      </c>
    </row>
    <row r="34" spans="1:20" ht="15" customHeight="1">
      <c r="A34" s="43" t="s">
        <v>3</v>
      </c>
      <c r="B34" s="31"/>
      <c r="C34" s="31"/>
      <c r="D34" s="31"/>
      <c r="E34" s="30"/>
      <c r="F34" s="44" t="s">
        <v>11</v>
      </c>
      <c r="G34" s="31"/>
      <c r="H34" s="45"/>
      <c r="L34" s="23"/>
      <c r="N34" s="56"/>
      <c r="O34" s="56"/>
      <c r="P34" s="56"/>
      <c r="Q34" s="56"/>
      <c r="R34" s="56"/>
      <c r="S34" s="56"/>
      <c r="T34" s="56"/>
    </row>
    <row r="35" spans="1:20">
      <c r="A35" s="46" t="s">
        <v>1</v>
      </c>
      <c r="B35" s="31"/>
      <c r="C35" s="31"/>
      <c r="D35" s="30"/>
      <c r="E35" s="5" t="s">
        <v>12</v>
      </c>
      <c r="F35" s="47" t="s">
        <v>13</v>
      </c>
      <c r="G35" s="30"/>
      <c r="H35" s="6">
        <f>SUM(E36:E46)</f>
        <v>0</v>
      </c>
      <c r="L35" s="23"/>
      <c r="N35" s="1" t="s">
        <v>8</v>
      </c>
      <c r="O35" s="1">
        <f t="shared" ref="O35:O61" si="3">T3</f>
        <v>0</v>
      </c>
      <c r="T35" s="1">
        <f t="shared" ref="T35:T61" si="4">O35+P35+R35-Q35-S35</f>
        <v>0</v>
      </c>
    </row>
    <row r="36" spans="1:20">
      <c r="A36" s="48" t="s">
        <v>7</v>
      </c>
      <c r="B36" s="31"/>
      <c r="C36" s="31"/>
      <c r="D36" s="30"/>
      <c r="E36" s="7">
        <f>H5</f>
        <v>0</v>
      </c>
      <c r="F36" s="47" t="s">
        <v>14</v>
      </c>
      <c r="G36" s="30"/>
      <c r="H36" s="6">
        <f>SUM(E49:E63)</f>
        <v>0</v>
      </c>
      <c r="L36" s="23"/>
      <c r="N36" s="1" t="s">
        <v>45</v>
      </c>
      <c r="O36" s="1">
        <f t="shared" si="3"/>
        <v>0</v>
      </c>
      <c r="T36" s="1">
        <f t="shared" si="4"/>
        <v>0</v>
      </c>
    </row>
    <row r="37" spans="1:20">
      <c r="A37" s="48" t="s">
        <v>15</v>
      </c>
      <c r="B37" s="31"/>
      <c r="C37" s="31"/>
      <c r="D37" s="30"/>
      <c r="E37" s="8"/>
      <c r="F37" s="47" t="s">
        <v>16</v>
      </c>
      <c r="G37" s="30"/>
      <c r="H37" s="6">
        <f>H35-H36</f>
        <v>0</v>
      </c>
      <c r="L37" s="23"/>
      <c r="N37" s="1" t="s">
        <v>46</v>
      </c>
      <c r="O37" s="1">
        <f t="shared" si="3"/>
        <v>0</v>
      </c>
      <c r="T37" s="1">
        <f t="shared" si="4"/>
        <v>0</v>
      </c>
    </row>
    <row r="38" spans="1:20" ht="14.4">
      <c r="A38" s="54" t="s">
        <v>71</v>
      </c>
      <c r="B38" s="31"/>
      <c r="C38" s="31"/>
      <c r="D38" s="30"/>
      <c r="E38" s="8"/>
      <c r="F38" s="49" t="s">
        <v>17</v>
      </c>
      <c r="G38" s="30"/>
      <c r="H38" s="9">
        <f>H63-H37</f>
        <v>0</v>
      </c>
      <c r="L38" s="23"/>
      <c r="N38" s="1" t="s">
        <v>48</v>
      </c>
      <c r="O38" s="1">
        <f t="shared" si="3"/>
        <v>0</v>
      </c>
      <c r="T38" s="1">
        <f t="shared" si="4"/>
        <v>0</v>
      </c>
    </row>
    <row r="39" spans="1:20" ht="14.4">
      <c r="A39" s="59" t="s">
        <v>18</v>
      </c>
      <c r="B39" s="31"/>
      <c r="C39" s="31"/>
      <c r="D39" s="30"/>
      <c r="E39" s="24">
        <f>Q62+S62</f>
        <v>0</v>
      </c>
      <c r="H39" s="10"/>
      <c r="L39" s="23"/>
      <c r="N39" s="1" t="s">
        <v>49</v>
      </c>
      <c r="O39" s="1">
        <f t="shared" si="3"/>
        <v>0</v>
      </c>
      <c r="T39" s="1">
        <f t="shared" si="4"/>
        <v>0</v>
      </c>
    </row>
    <row r="40" spans="1:20" ht="14.4">
      <c r="A40" s="48" t="s">
        <v>19</v>
      </c>
      <c r="B40" s="31"/>
      <c r="C40" s="31"/>
      <c r="D40" s="30"/>
      <c r="E40" s="8"/>
      <c r="F40" s="50" t="s">
        <v>20</v>
      </c>
      <c r="G40" s="31"/>
      <c r="H40" s="45"/>
      <c r="L40" s="23"/>
      <c r="N40" s="1" t="s">
        <v>50</v>
      </c>
      <c r="O40" s="1">
        <f t="shared" si="3"/>
        <v>0</v>
      </c>
      <c r="T40" s="1">
        <f t="shared" si="4"/>
        <v>0</v>
      </c>
    </row>
    <row r="41" spans="1:20" ht="14.4">
      <c r="A41" s="48" t="s">
        <v>21</v>
      </c>
      <c r="B41" s="31"/>
      <c r="C41" s="31"/>
      <c r="D41" s="30"/>
      <c r="E41" s="8"/>
      <c r="F41" s="52"/>
      <c r="G41" s="31"/>
      <c r="H41" s="18"/>
      <c r="L41" s="23"/>
      <c r="N41" s="1" t="s">
        <v>51</v>
      </c>
      <c r="O41" s="1">
        <f t="shared" si="3"/>
        <v>0</v>
      </c>
      <c r="T41" s="1">
        <f t="shared" si="4"/>
        <v>0</v>
      </c>
    </row>
    <row r="42" spans="1:20" ht="14.4">
      <c r="A42" s="48" t="s">
        <v>22</v>
      </c>
      <c r="B42" s="31"/>
      <c r="C42" s="31"/>
      <c r="D42" s="30"/>
      <c r="E42" s="8"/>
      <c r="F42" s="52"/>
      <c r="G42" s="30"/>
      <c r="H42" s="18"/>
      <c r="L42" s="23"/>
      <c r="N42" s="1" t="s">
        <v>52</v>
      </c>
      <c r="O42" s="1">
        <f t="shared" si="3"/>
        <v>0</v>
      </c>
      <c r="T42" s="1">
        <f t="shared" si="4"/>
        <v>0</v>
      </c>
    </row>
    <row r="43" spans="1:20" ht="14.4">
      <c r="A43" s="54" t="s">
        <v>9</v>
      </c>
      <c r="B43" s="31"/>
      <c r="C43" s="31"/>
      <c r="D43" s="30"/>
      <c r="E43" s="8"/>
      <c r="F43" s="2"/>
      <c r="G43" s="3"/>
      <c r="H43" s="18"/>
      <c r="L43" s="23"/>
      <c r="N43" s="1" t="s">
        <v>54</v>
      </c>
      <c r="O43" s="1">
        <f t="shared" si="3"/>
        <v>0</v>
      </c>
      <c r="T43" s="1">
        <f t="shared" si="4"/>
        <v>0</v>
      </c>
    </row>
    <row r="44" spans="1:20" ht="14.4">
      <c r="A44" s="54" t="s">
        <v>55</v>
      </c>
      <c r="B44" s="31"/>
      <c r="C44" s="31"/>
      <c r="D44" s="30"/>
      <c r="E44" s="8"/>
      <c r="F44" s="52"/>
      <c r="G44" s="30"/>
      <c r="H44" s="18"/>
      <c r="L44" s="23"/>
      <c r="N44" s="1" t="s">
        <v>56</v>
      </c>
      <c r="O44" s="1">
        <f t="shared" si="3"/>
        <v>0</v>
      </c>
      <c r="T44" s="1">
        <f t="shared" si="4"/>
        <v>0</v>
      </c>
    </row>
    <row r="45" spans="1:20" ht="14.4">
      <c r="A45" s="48"/>
      <c r="B45" s="31"/>
      <c r="C45" s="31"/>
      <c r="D45" s="30"/>
      <c r="E45" s="8"/>
      <c r="F45" s="52"/>
      <c r="G45" s="30"/>
      <c r="H45" s="18"/>
      <c r="L45" s="23"/>
      <c r="N45" s="1" t="s">
        <v>57</v>
      </c>
      <c r="O45" s="1">
        <f t="shared" si="3"/>
        <v>0</v>
      </c>
      <c r="T45" s="1">
        <f t="shared" si="4"/>
        <v>0</v>
      </c>
    </row>
    <row r="46" spans="1:20" ht="14.4">
      <c r="A46" s="48"/>
      <c r="B46" s="31"/>
      <c r="C46" s="31"/>
      <c r="D46" s="30"/>
      <c r="E46" s="8"/>
      <c r="F46" s="51"/>
      <c r="G46" s="30"/>
      <c r="H46" s="11"/>
      <c r="L46" s="23"/>
      <c r="N46" s="1" t="s">
        <v>58</v>
      </c>
      <c r="O46" s="1">
        <f t="shared" si="3"/>
        <v>0</v>
      </c>
      <c r="T46" s="1">
        <f t="shared" si="4"/>
        <v>0</v>
      </c>
    </row>
    <row r="47" spans="1:20" ht="18">
      <c r="A47" s="53" t="s">
        <v>2</v>
      </c>
      <c r="B47" s="31"/>
      <c r="C47" s="31"/>
      <c r="D47" s="31"/>
      <c r="E47" s="30"/>
      <c r="F47" s="44" t="s">
        <v>26</v>
      </c>
      <c r="G47" s="31"/>
      <c r="H47" s="45"/>
      <c r="L47" s="23"/>
      <c r="N47" s="1" t="s">
        <v>59</v>
      </c>
      <c r="O47" s="1">
        <f t="shared" si="3"/>
        <v>0</v>
      </c>
      <c r="T47" s="1">
        <f t="shared" si="4"/>
        <v>0</v>
      </c>
    </row>
    <row r="48" spans="1:20" ht="14.4">
      <c r="A48" s="46" t="s">
        <v>1</v>
      </c>
      <c r="B48" s="31"/>
      <c r="C48" s="31"/>
      <c r="D48" s="30"/>
      <c r="E48" s="5" t="s">
        <v>12</v>
      </c>
      <c r="F48" s="47" t="s">
        <v>27</v>
      </c>
      <c r="G48" s="30"/>
      <c r="H48" s="20"/>
      <c r="L48" s="23"/>
      <c r="N48" s="1" t="s">
        <v>60</v>
      </c>
      <c r="O48" s="1">
        <f t="shared" si="3"/>
        <v>0</v>
      </c>
      <c r="T48" s="1">
        <f t="shared" si="4"/>
        <v>0</v>
      </c>
    </row>
    <row r="49" spans="1:20" ht="14.4">
      <c r="A49" s="63"/>
      <c r="B49" s="31"/>
      <c r="C49" s="31"/>
      <c r="D49" s="30"/>
      <c r="E49" s="25"/>
      <c r="F49" s="47" t="s">
        <v>28</v>
      </c>
      <c r="G49" s="30"/>
      <c r="H49" s="19">
        <f>P62-Q62</f>
        <v>0</v>
      </c>
      <c r="L49" s="23"/>
      <c r="N49" s="1" t="s">
        <v>61</v>
      </c>
      <c r="O49" s="1">
        <f t="shared" si="3"/>
        <v>0</v>
      </c>
      <c r="T49" s="1">
        <f t="shared" si="4"/>
        <v>0</v>
      </c>
    </row>
    <row r="50" spans="1:20" ht="14.4">
      <c r="A50" s="59" t="s">
        <v>23</v>
      </c>
      <c r="B50" s="31"/>
      <c r="C50" s="31"/>
      <c r="D50" s="30"/>
      <c r="E50" s="24">
        <f>Q62</f>
        <v>0</v>
      </c>
      <c r="F50" s="47" t="s">
        <v>29</v>
      </c>
      <c r="G50" s="30"/>
      <c r="H50" s="19">
        <f>E50</f>
        <v>0</v>
      </c>
      <c r="L50" s="23"/>
      <c r="O50" s="1">
        <f t="shared" si="3"/>
        <v>0</v>
      </c>
      <c r="T50" s="1">
        <f t="shared" si="4"/>
        <v>0</v>
      </c>
    </row>
    <row r="51" spans="1:20" ht="14.4">
      <c r="A51" s="60" t="s">
        <v>62</v>
      </c>
      <c r="B51" s="31"/>
      <c r="C51" s="31"/>
      <c r="D51" s="30"/>
      <c r="E51" s="25"/>
      <c r="F51" s="49" t="s">
        <v>31</v>
      </c>
      <c r="G51" s="30"/>
      <c r="H51" s="12"/>
      <c r="L51" s="23"/>
      <c r="O51" s="1">
        <f t="shared" si="3"/>
        <v>0</v>
      </c>
      <c r="T51" s="1">
        <f t="shared" si="4"/>
        <v>0</v>
      </c>
    </row>
    <row r="52" spans="1:20" ht="14.4">
      <c r="A52" s="60" t="s">
        <v>63</v>
      </c>
      <c r="B52" s="31"/>
      <c r="C52" s="31"/>
      <c r="D52" s="30"/>
      <c r="E52" s="25"/>
      <c r="F52" s="49" t="s">
        <v>32</v>
      </c>
      <c r="G52" s="30"/>
      <c r="H52" s="20"/>
      <c r="L52" s="23"/>
      <c r="O52" s="1">
        <f t="shared" si="3"/>
        <v>0</v>
      </c>
      <c r="T52" s="1">
        <f t="shared" si="4"/>
        <v>0</v>
      </c>
    </row>
    <row r="53" spans="1:20" ht="14.4">
      <c r="A53" s="60" t="s">
        <v>64</v>
      </c>
      <c r="B53" s="31"/>
      <c r="C53" s="31"/>
      <c r="D53" s="30"/>
      <c r="E53" s="25"/>
      <c r="F53" s="49" t="s">
        <v>30</v>
      </c>
      <c r="G53" s="30"/>
      <c r="H53" s="6">
        <f>SUM(H48:H52)</f>
        <v>0</v>
      </c>
      <c r="L53" s="23"/>
      <c r="O53" s="1">
        <f t="shared" si="3"/>
        <v>0</v>
      </c>
      <c r="T53" s="1">
        <f t="shared" si="4"/>
        <v>0</v>
      </c>
    </row>
    <row r="54" spans="1:20" ht="14.4">
      <c r="A54" s="60" t="s">
        <v>65</v>
      </c>
      <c r="B54" s="31"/>
      <c r="C54" s="31"/>
      <c r="D54" s="30"/>
      <c r="E54" s="25"/>
      <c r="H54" s="10"/>
      <c r="L54" s="23"/>
      <c r="O54" s="1">
        <f t="shared" si="3"/>
        <v>0</v>
      </c>
      <c r="T54" s="1">
        <f t="shared" si="4"/>
        <v>0</v>
      </c>
    </row>
    <row r="55" spans="1:20" ht="14.4">
      <c r="A55" s="60" t="s">
        <v>66</v>
      </c>
      <c r="B55" s="31"/>
      <c r="C55" s="31"/>
      <c r="D55" s="30"/>
      <c r="E55" s="25"/>
      <c r="F55" s="13" t="s">
        <v>5</v>
      </c>
      <c r="G55" s="13" t="s">
        <v>25</v>
      </c>
      <c r="H55" s="14" t="s">
        <v>6</v>
      </c>
      <c r="I55" s="1" t="s">
        <v>35</v>
      </c>
      <c r="J55" s="22">
        <f>J28</f>
        <v>0</v>
      </c>
      <c r="K55" s="22"/>
      <c r="L55" s="23"/>
      <c r="O55" s="1">
        <f t="shared" si="3"/>
        <v>0</v>
      </c>
      <c r="T55" s="1">
        <f t="shared" si="4"/>
        <v>0</v>
      </c>
    </row>
    <row r="56" spans="1:20" ht="14.4">
      <c r="A56" s="61" t="s">
        <v>67</v>
      </c>
      <c r="B56" s="31"/>
      <c r="C56" s="31"/>
      <c r="D56" s="30"/>
      <c r="E56" s="26"/>
      <c r="F56" s="15">
        <v>500</v>
      </c>
      <c r="G56" s="4"/>
      <c r="H56" s="6">
        <f t="shared" ref="H56:H61" si="5">F56*G56</f>
        <v>0</v>
      </c>
      <c r="I56" s="1" t="s">
        <v>36</v>
      </c>
      <c r="J56" s="21"/>
      <c r="K56" s="21"/>
      <c r="L56" s="23"/>
      <c r="O56" s="1">
        <f t="shared" si="3"/>
        <v>0</v>
      </c>
      <c r="T56" s="1">
        <f t="shared" si="4"/>
        <v>0</v>
      </c>
    </row>
    <row r="57" spans="1:20" ht="14.4">
      <c r="A57" s="61" t="s">
        <v>33</v>
      </c>
      <c r="B57" s="31"/>
      <c r="C57" s="31"/>
      <c r="D57" s="30"/>
      <c r="E57" s="26"/>
      <c r="F57" s="15">
        <v>200</v>
      </c>
      <c r="G57" s="4"/>
      <c r="H57" s="6">
        <f t="shared" si="5"/>
        <v>0</v>
      </c>
      <c r="I57" s="1" t="s">
        <v>37</v>
      </c>
      <c r="J57" s="22">
        <f>SUM(E56:E60)</f>
        <v>0</v>
      </c>
      <c r="K57" s="22"/>
      <c r="L57" s="23"/>
      <c r="O57" s="1">
        <f t="shared" si="3"/>
        <v>0</v>
      </c>
      <c r="T57" s="1">
        <f t="shared" si="4"/>
        <v>0</v>
      </c>
    </row>
    <row r="58" spans="1:20" ht="14.4">
      <c r="A58" s="61" t="s">
        <v>68</v>
      </c>
      <c r="B58" s="31"/>
      <c r="C58" s="31"/>
      <c r="D58" s="30"/>
      <c r="E58" s="26"/>
      <c r="F58" s="15">
        <v>100</v>
      </c>
      <c r="G58" s="4"/>
      <c r="H58" s="6">
        <f t="shared" si="5"/>
        <v>0</v>
      </c>
      <c r="I58" s="1" t="s">
        <v>38</v>
      </c>
      <c r="J58" s="22">
        <f>H49</f>
        <v>0</v>
      </c>
      <c r="K58" s="22"/>
      <c r="L58" s="23"/>
      <c r="O58" s="1">
        <f t="shared" si="3"/>
        <v>0</v>
      </c>
      <c r="T58" s="1">
        <f t="shared" si="4"/>
        <v>0</v>
      </c>
    </row>
    <row r="59" spans="1:20" ht="14.4">
      <c r="A59" s="61" t="s">
        <v>69</v>
      </c>
      <c r="B59" s="31"/>
      <c r="C59" s="31"/>
      <c r="D59" s="30"/>
      <c r="E59" s="26"/>
      <c r="F59" s="15">
        <v>50</v>
      </c>
      <c r="G59" s="4"/>
      <c r="H59" s="6">
        <f t="shared" si="5"/>
        <v>0</v>
      </c>
      <c r="I59" s="1" t="s">
        <v>39</v>
      </c>
      <c r="J59" s="21"/>
      <c r="K59" s="21"/>
      <c r="L59" s="23"/>
      <c r="O59" s="1">
        <f t="shared" si="3"/>
        <v>0</v>
      </c>
      <c r="T59" s="1">
        <f t="shared" si="4"/>
        <v>0</v>
      </c>
    </row>
    <row r="60" spans="1:20" ht="14.4">
      <c r="A60" s="61" t="s">
        <v>70</v>
      </c>
      <c r="B60" s="31"/>
      <c r="C60" s="31"/>
      <c r="D60" s="30"/>
      <c r="E60" s="26"/>
      <c r="F60" s="15">
        <v>20</v>
      </c>
      <c r="G60" s="4"/>
      <c r="H60" s="6">
        <f t="shared" si="5"/>
        <v>0</v>
      </c>
      <c r="I60" s="1" t="s">
        <v>40</v>
      </c>
      <c r="J60" s="22">
        <f>J55+J56+J57-J58-J59</f>
        <v>0</v>
      </c>
      <c r="K60" s="22"/>
      <c r="L60" s="23"/>
      <c r="O60" s="1">
        <f t="shared" si="3"/>
        <v>0</v>
      </c>
      <c r="T60" s="1">
        <f t="shared" si="4"/>
        <v>0</v>
      </c>
    </row>
    <row r="61" spans="1:20" ht="14.4">
      <c r="A61" s="55"/>
      <c r="B61" s="31"/>
      <c r="C61" s="31"/>
      <c r="D61" s="30"/>
      <c r="E61" s="27"/>
      <c r="F61" s="15">
        <v>10</v>
      </c>
      <c r="G61" s="4"/>
      <c r="H61" s="6">
        <f t="shared" si="5"/>
        <v>0</v>
      </c>
      <c r="L61" s="23"/>
      <c r="O61" s="1">
        <f t="shared" si="3"/>
        <v>0</v>
      </c>
      <c r="T61" s="1">
        <f t="shared" si="4"/>
        <v>0</v>
      </c>
    </row>
    <row r="62" spans="1:20" ht="14.4">
      <c r="A62" s="55"/>
      <c r="B62" s="31"/>
      <c r="C62" s="31"/>
      <c r="D62" s="30"/>
      <c r="E62" s="27"/>
      <c r="F62" s="15">
        <v>5</v>
      </c>
      <c r="G62" s="4"/>
      <c r="H62" s="6">
        <v>0</v>
      </c>
      <c r="L62" s="23"/>
      <c r="N62" s="28" t="s">
        <v>10</v>
      </c>
      <c r="O62" s="28"/>
      <c r="P62" s="28">
        <f t="shared" ref="P62:T62" si="6">SUM(P35:P61)</f>
        <v>0</v>
      </c>
      <c r="Q62" s="28">
        <f t="shared" si="6"/>
        <v>0</v>
      </c>
      <c r="R62" s="28">
        <f t="shared" si="6"/>
        <v>0</v>
      </c>
      <c r="S62" s="28">
        <f t="shared" si="6"/>
        <v>0</v>
      </c>
      <c r="T62" s="28">
        <f t="shared" si="6"/>
        <v>0</v>
      </c>
    </row>
    <row r="63" spans="1:20" ht="14.4">
      <c r="A63" s="32"/>
      <c r="B63" s="33"/>
      <c r="C63" s="33"/>
      <c r="D63" s="34"/>
      <c r="E63" s="29"/>
      <c r="F63" s="35" t="s">
        <v>10</v>
      </c>
      <c r="G63" s="34"/>
      <c r="H63" s="16">
        <f>SUM(H56:H62)</f>
        <v>0</v>
      </c>
      <c r="L63" s="23"/>
    </row>
  </sheetData>
  <mergeCells count="117">
    <mergeCell ref="A59:D59"/>
    <mergeCell ref="A60:D60"/>
    <mergeCell ref="A61:D61"/>
    <mergeCell ref="A62:D62"/>
    <mergeCell ref="A63:D63"/>
    <mergeCell ref="A50:D50"/>
    <mergeCell ref="A51:D51"/>
    <mergeCell ref="A52:D52"/>
    <mergeCell ref="A53:D53"/>
    <mergeCell ref="A54:D54"/>
    <mergeCell ref="A55:D55"/>
    <mergeCell ref="A56:D56"/>
    <mergeCell ref="A43:D43"/>
    <mergeCell ref="A44:D44"/>
    <mergeCell ref="A45:D45"/>
    <mergeCell ref="A46:D46"/>
    <mergeCell ref="A47:E47"/>
    <mergeCell ref="A48:D48"/>
    <mergeCell ref="A49:D49"/>
    <mergeCell ref="A57:D57"/>
    <mergeCell ref="A58:D58"/>
    <mergeCell ref="F13:G13"/>
    <mergeCell ref="A18:D18"/>
    <mergeCell ref="A19:D19"/>
    <mergeCell ref="Q33:Q34"/>
    <mergeCell ref="R33:R34"/>
    <mergeCell ref="A33:B33"/>
    <mergeCell ref="A34:E34"/>
    <mergeCell ref="A13:D13"/>
    <mergeCell ref="A14:D14"/>
    <mergeCell ref="A15:E15"/>
    <mergeCell ref="A16:D16"/>
    <mergeCell ref="A17:D17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8:D8"/>
    <mergeCell ref="F8:H8"/>
    <mergeCell ref="F9:G9"/>
    <mergeCell ref="A9:D9"/>
    <mergeCell ref="A10:D10"/>
    <mergeCell ref="F10:G10"/>
    <mergeCell ref="A11:D11"/>
    <mergeCell ref="A12:D12"/>
    <mergeCell ref="F12:G12"/>
    <mergeCell ref="A3:D3"/>
    <mergeCell ref="F3:G3"/>
    <mergeCell ref="A4:D4"/>
    <mergeCell ref="F4:G4"/>
    <mergeCell ref="F5:G5"/>
    <mergeCell ref="A5:D5"/>
    <mergeCell ref="A6:D6"/>
    <mergeCell ref="F6:G6"/>
    <mergeCell ref="A7:D7"/>
    <mergeCell ref="Q1:Q2"/>
    <mergeCell ref="R1:R2"/>
    <mergeCell ref="S1:S2"/>
    <mergeCell ref="T1:T2"/>
    <mergeCell ref="A1:B1"/>
    <mergeCell ref="C1:H1"/>
    <mergeCell ref="N1:N2"/>
    <mergeCell ref="O1:O2"/>
    <mergeCell ref="P1:P2"/>
    <mergeCell ref="A2:E2"/>
    <mergeCell ref="F2:H2"/>
    <mergeCell ref="S33:S34"/>
    <mergeCell ref="T33:T34"/>
    <mergeCell ref="A40:D40"/>
    <mergeCell ref="A37:D37"/>
    <mergeCell ref="A41:D41"/>
    <mergeCell ref="A42:D42"/>
    <mergeCell ref="A32:U32"/>
    <mergeCell ref="N33:N34"/>
    <mergeCell ref="O33:O34"/>
    <mergeCell ref="P33:P34"/>
    <mergeCell ref="C33:H33"/>
    <mergeCell ref="A38:D38"/>
    <mergeCell ref="A39:D39"/>
    <mergeCell ref="A35:D35"/>
    <mergeCell ref="A36:D36"/>
    <mergeCell ref="F52:G52"/>
    <mergeCell ref="F53:G53"/>
    <mergeCell ref="F63:G63"/>
    <mergeCell ref="F42:G42"/>
    <mergeCell ref="F44:G44"/>
    <mergeCell ref="F45:G45"/>
    <mergeCell ref="F46:G46"/>
    <mergeCell ref="F47:H47"/>
    <mergeCell ref="F48:G48"/>
    <mergeCell ref="F49:G49"/>
    <mergeCell ref="F16:G16"/>
    <mergeCell ref="F14:G14"/>
    <mergeCell ref="F15:H15"/>
    <mergeCell ref="F41:G41"/>
    <mergeCell ref="F40:H40"/>
    <mergeCell ref="F21:G21"/>
    <mergeCell ref="F34:H34"/>
    <mergeCell ref="F50:G50"/>
    <mergeCell ref="F51:G51"/>
    <mergeCell ref="F17:G17"/>
    <mergeCell ref="F18:G18"/>
    <mergeCell ref="F19:G19"/>
    <mergeCell ref="F20:G20"/>
    <mergeCell ref="F38:G38"/>
    <mergeCell ref="F31:G31"/>
    <mergeCell ref="F36:G36"/>
    <mergeCell ref="F37:G37"/>
    <mergeCell ref="F35:G35"/>
  </mergeCells>
  <conditionalFormatting sqref="H6 H38">
    <cfRule type="cellIs" dxfId="5" priority="1" operator="lessThan">
      <formula>0</formula>
    </cfRule>
    <cfRule type="cellIs" dxfId="4" priority="2" operator="greaterThan">
      <formula>0</formula>
    </cfRule>
    <cfRule type="cellIs" dxfId="3" priority="3" operator="equal">
      <formula>0</formula>
    </cfRule>
  </conditionalFormatting>
  <conditionalFormatting sqref="O3:O29 T3:T29 O35:O61 T35:T61">
    <cfRule type="cellIs" dxfId="2" priority="4" operator="greaterThan">
      <formula>0</formula>
    </cfRule>
    <cfRule type="cellIs" dxfId="1" priority="5" operator="lessThan">
      <formula>0</formula>
    </cfRule>
  </conditionalFormatting>
  <conditionalFormatting sqref="T3:T29 O3:O30">
    <cfRule type="cellIs" dxfId="0" priority="6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शीट19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RAKINRAJ VP</dc:creator>
  <cp:lastModifiedBy>RAKINRAJ VP</cp:lastModifiedBy>
  <dcterms:created xsi:type="dcterms:W3CDTF">2015-06-05T18:17:20Z</dcterms:created>
  <dcterms:modified xsi:type="dcterms:W3CDTF">2026-08-28T19:14:22Z</dcterms:modified>
</cp:coreProperties>
</file>